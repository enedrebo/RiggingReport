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 Python\Python\RiggingCalcsTool\"/>
    </mc:Choice>
  </mc:AlternateContent>
  <xr:revisionPtr revIDLastSave="0" documentId="13_ncr:1_{5B79780B-C0EE-44B7-9823-5909F1E0A60D}" xr6:coauthVersionLast="47" xr6:coauthVersionMax="47" xr10:uidLastSave="{00000000-0000-0000-0000-000000000000}"/>
  <bookViews>
    <workbookView xWindow="-12195" yWindow="-21600" windowWidth="26010" windowHeight="20985" activeTab="7" xr2:uid="{7A3C2ED0-1148-479D-88A7-9F51B0BC8950}"/>
  </bookViews>
  <sheets>
    <sheet name="Instructions" sheetId="4" r:id="rId1"/>
    <sheet name="0-Loads" sheetId="1" r:id="rId2"/>
    <sheet name="A01-mainlink" sheetId="3" r:id="rId3"/>
    <sheet name="A01-sublinks" sheetId="5" r:id="rId4"/>
    <sheet name="A02" sheetId="6" r:id="rId5"/>
    <sheet name="A03-main" sheetId="2" r:id="rId6"/>
    <sheet name="A03-hardeye" sheetId="7" r:id="rId7"/>
    <sheet name="A03-Dextron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D34" i="9"/>
  <c r="D36" i="9" s="1"/>
  <c r="D17" i="9"/>
  <c r="D32" i="9"/>
  <c r="D22" i="9"/>
  <c r="D28" i="9" s="1"/>
  <c r="D20" i="7"/>
  <c r="D22" i="7" s="1"/>
  <c r="D28" i="7" s="1"/>
  <c r="D17" i="7"/>
  <c r="D32" i="7"/>
  <c r="D36" i="2"/>
  <c r="D23" i="6"/>
  <c r="D17" i="6"/>
  <c r="D14" i="6"/>
  <c r="D18" i="6" s="1"/>
  <c r="D12" i="5"/>
  <c r="D17" i="5" s="1"/>
  <c r="D23" i="5"/>
  <c r="D14" i="5"/>
  <c r="D18" i="5" s="1"/>
  <c r="D14" i="3"/>
  <c r="D22" i="1"/>
  <c r="D27" i="9" l="1"/>
  <c r="D29" i="9" s="1"/>
  <c r="E36" i="9" s="1"/>
  <c r="D27" i="7"/>
  <c r="D29" i="7" s="1"/>
  <c r="D34" i="7" s="1"/>
  <c r="D36" i="7" s="1"/>
  <c r="E36" i="7" s="1"/>
  <c r="D20" i="6"/>
  <c r="D25" i="6" s="1"/>
  <c r="E25" i="6" s="1"/>
  <c r="D20" i="5"/>
  <c r="D25" i="5"/>
  <c r="E25" i="5" s="1"/>
  <c r="D18" i="3" l="1"/>
  <c r="D17" i="3"/>
  <c r="D20" i="3" s="1"/>
  <c r="D22" i="2"/>
  <c r="D28" i="2" s="1"/>
  <c r="D17" i="1"/>
  <c r="D35" i="1" s="1"/>
  <c r="D23" i="3" l="1"/>
  <c r="D25" i="3" s="1"/>
  <c r="D27" i="2"/>
  <c r="D29" i="2" s="1"/>
  <c r="D32" i="2"/>
  <c r="D34" i="2" l="1"/>
  <c r="E36" i="2" s="1"/>
  <c r="E25" i="3"/>
</calcChain>
</file>

<file path=xl/sharedStrings.xml><?xml version="1.0" encoding="utf-8"?>
<sst xmlns="http://schemas.openxmlformats.org/spreadsheetml/2006/main" count="423" uniqueCount="156">
  <si>
    <t>Weight of object (t)</t>
  </si>
  <si>
    <t>Weight inaccuracy factor</t>
  </si>
  <si>
    <t>Weight of lift rigging (t)</t>
  </si>
  <si>
    <t>-</t>
  </si>
  <si>
    <t>Special weights (t)</t>
  </si>
  <si>
    <t>Static hook load</t>
  </si>
  <si>
    <t>y_con</t>
  </si>
  <si>
    <t>W_rig</t>
  </si>
  <si>
    <t>W_special</t>
  </si>
  <si>
    <t>SHL</t>
  </si>
  <si>
    <t>Dynamic hook load</t>
  </si>
  <si>
    <t>DAF</t>
  </si>
  <si>
    <t>W_lift</t>
  </si>
  <si>
    <t>Calculated as per DNV-ST-N001 16.2.5.5</t>
  </si>
  <si>
    <t>Sling loads</t>
  </si>
  <si>
    <t>Item no.</t>
  </si>
  <si>
    <t>Item description</t>
  </si>
  <si>
    <t>Header</t>
  </si>
  <si>
    <t>Figure upload</t>
  </si>
  <si>
    <t>General</t>
  </si>
  <si>
    <t>Material</t>
  </si>
  <si>
    <t>Termination</t>
  </si>
  <si>
    <t>D</t>
  </si>
  <si>
    <t>d</t>
  </si>
  <si>
    <t>D/d</t>
  </si>
  <si>
    <t>Safety factors</t>
  </si>
  <si>
    <t>SF</t>
  </si>
  <si>
    <t>Figure file name</t>
  </si>
  <si>
    <t>Loads</t>
  </si>
  <si>
    <t>Leg quantity</t>
  </si>
  <si>
    <t>CoG shift factor</t>
  </si>
  <si>
    <t>Skew load factor</t>
  </si>
  <si>
    <t>Leg angle to horizontal (deg)</t>
  </si>
  <si>
    <t>Static hook load (kN)</t>
  </si>
  <si>
    <t>Dynamic hook load (kN)</t>
  </si>
  <si>
    <t>Calculated:</t>
  </si>
  <si>
    <t>Leg 1 max. dynamic load (kN)</t>
  </si>
  <si>
    <t>Leg 2 max. dynamic load (kN)</t>
  </si>
  <si>
    <t>Leg 3 max. dynamic load (kN)</t>
  </si>
  <si>
    <t>Leg 4 max. dynamic load (kN)</t>
  </si>
  <si>
    <t>Leg max. dynamic load (kN)</t>
  </si>
  <si>
    <t>γb</t>
  </si>
  <si>
    <t>γs</t>
  </si>
  <si>
    <t>γr</t>
  </si>
  <si>
    <t>γh</t>
  </si>
  <si>
    <t>γc</t>
  </si>
  <si>
    <t>γm</t>
  </si>
  <si>
    <t>γw</t>
  </si>
  <si>
    <t>γsf1</t>
  </si>
  <si>
    <t>γsf2</t>
  </si>
  <si>
    <t>Safety factor</t>
  </si>
  <si>
    <t>Max. dynamic load on item (kN)</t>
  </si>
  <si>
    <t>F_leg1</t>
  </si>
  <si>
    <t>F_leg2</t>
  </si>
  <si>
    <t>F_leg3</t>
  </si>
  <si>
    <t>F_leg4</t>
  </si>
  <si>
    <t>F_leg</t>
  </si>
  <si>
    <t>n_leg</t>
  </si>
  <si>
    <t>leg_beta</t>
  </si>
  <si>
    <t>CoG_sf</t>
  </si>
  <si>
    <t>SKL</t>
  </si>
  <si>
    <t>F_hook</t>
  </si>
  <si>
    <t>Shape factor</t>
  </si>
  <si>
    <t>Requred MBL (kN)</t>
  </si>
  <si>
    <t>y_LF</t>
  </si>
  <si>
    <t>MBL_R</t>
  </si>
  <si>
    <t>MBL</t>
  </si>
  <si>
    <t>Minimum breaking load (kN)</t>
  </si>
  <si>
    <t>Utilization ratio</t>
  </si>
  <si>
    <t>UF</t>
  </si>
  <si>
    <t>Comments put here will be added to the report:</t>
  </si>
  <si>
    <t>Comments put here will not be added to the report</t>
  </si>
  <si>
    <t>Detailed description</t>
  </si>
  <si>
    <t>DNV-ST-N001 16.4.4</t>
  </si>
  <si>
    <t>DNV-ST-N001 16.4.3.1</t>
  </si>
  <si>
    <t>DNV-ST-N001 16.4.5</t>
  </si>
  <si>
    <t>DNV-ST-N001 16.4.8</t>
  </si>
  <si>
    <t>DNV-ST-N001 16.4.10</t>
  </si>
  <si>
    <t>DNV-ST-N001 16.4.6</t>
  </si>
  <si>
    <t>Sling SF 1</t>
  </si>
  <si>
    <t>Sling SF 2</t>
  </si>
  <si>
    <t>Wear factor</t>
  </si>
  <si>
    <t>Material factor</t>
  </si>
  <si>
    <t>Consequence factor</t>
  </si>
  <si>
    <t>Lifting factor</t>
  </si>
  <si>
    <t>Sling reduction factor</t>
  </si>
  <si>
    <t>Termination factor</t>
  </si>
  <si>
    <t>Bending factor</t>
  </si>
  <si>
    <t>Item diameter (mm)</t>
  </si>
  <si>
    <t>Bending diameter (mm)</t>
  </si>
  <si>
    <t>Working load limit (t)</t>
  </si>
  <si>
    <t>WLL</t>
  </si>
  <si>
    <t>Slings, ropes, wire, chain</t>
  </si>
  <si>
    <t>Safety factor on item</t>
  </si>
  <si>
    <t>ItemSF</t>
  </si>
  <si>
    <t>WLL x DAF</t>
  </si>
  <si>
    <t>Documented proof load</t>
  </si>
  <si>
    <t>Allowable load on item</t>
  </si>
  <si>
    <t>MBL/3.0</t>
  </si>
  <si>
    <t>DNV-ST-N001 16.5.2.6</t>
  </si>
  <si>
    <t>Direct input from analysis:</t>
  </si>
  <si>
    <t>Only used if input cell in row above is left blank</t>
  </si>
  <si>
    <t>General input</t>
  </si>
  <si>
    <t>Project</t>
  </si>
  <si>
    <t>Report heading</t>
  </si>
  <si>
    <t>Date</t>
  </si>
  <si>
    <t>Author</t>
  </si>
  <si>
    <t>Approver</t>
  </si>
  <si>
    <t>Other comments to be added to the report:</t>
  </si>
  <si>
    <t>Shackles, hooks, masterlinks</t>
  </si>
  <si>
    <t>Only used if no direct input is given (if all input cells above are left blank)</t>
  </si>
  <si>
    <t>DAF (calculated)</t>
  </si>
  <si>
    <r>
      <t xml:space="preserve">Rigging calculations
</t>
    </r>
    <r>
      <rPr>
        <sz val="11"/>
        <color theme="1"/>
        <rFont val="Aptos Narrow"/>
        <family val="2"/>
        <scheme val="minor"/>
      </rPr>
      <t xml:space="preserve">This is a template for rigging calculations as per DNV-ST-N001. It can be used together with the Rigging Calculations Report Generator app to create a structured rigging calculation report.
All calculations are done within this spreadsheet. The different sheets are described below: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 xml:space="preserve">0-Loads
</t>
    </r>
    <r>
      <rPr>
        <sz val="11"/>
        <color theme="1"/>
        <rFont val="Aptos Narrow"/>
        <family val="2"/>
        <scheme val="minor"/>
      </rPr>
      <t>General project description and calculation/input of rigging loads.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There must always only be one of this sheet, and it cannot be renamed.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>1-SlingRopeWire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Used for calculation of utilization in slings, ropes, chains, wires etc.
Can be renamed
If you have several items of this type, copy the sheet
</t>
    </r>
    <r>
      <rPr>
        <b/>
        <u/>
        <sz val="11"/>
        <color theme="1"/>
        <rFont val="Aptos Narrow"/>
        <family val="2"/>
        <scheme val="minor"/>
      </rPr>
      <t>2-ShackleHooks</t>
    </r>
    <r>
      <rPr>
        <sz val="11"/>
        <color theme="1"/>
        <rFont val="Aptos Narrow"/>
        <family val="2"/>
        <scheme val="minor"/>
      </rPr>
      <t xml:space="preserve">
Used for calculation of utilization in shackles, hooks, masterlinks etc.
Can be renamed
If you have several items of this type, copy the sheet
</t>
    </r>
  </si>
  <si>
    <t>Hilli Decommissioning</t>
  </si>
  <si>
    <t>img_loads.png</t>
  </si>
  <si>
    <t>Yoke Centre Tank Rigging</t>
  </si>
  <si>
    <t>ABC</t>
  </si>
  <si>
    <t>CDE</t>
  </si>
  <si>
    <t>Taken from 'Yoke Centre Tank Rigging.sm'. Check calculation</t>
  </si>
  <si>
    <t>Calculations based on DAF and inaccuracy factor</t>
  </si>
  <si>
    <t>WLL 250t - Type SC5</t>
  </si>
  <si>
    <t>A01.png</t>
  </si>
  <si>
    <t>Not given in example. Should we make this field optional?</t>
  </si>
  <si>
    <t>Masterlink Assembly - main link</t>
  </si>
  <si>
    <t>Masterlink Assembly - sublinks</t>
  </si>
  <si>
    <t>WLL x 0.7</t>
  </si>
  <si>
    <t>A01-main</t>
  </si>
  <si>
    <t>A01-sub</t>
  </si>
  <si>
    <t>A02</t>
  </si>
  <si>
    <t>Shackle</t>
  </si>
  <si>
    <t>WLL 150t - Green Pin  Sling Shackle BN P-6033</t>
  </si>
  <si>
    <t>A02.png</t>
  </si>
  <si>
    <t>DNV-ST-N001 16.11.4.2</t>
  </si>
  <si>
    <t>A03</t>
  </si>
  <si>
    <t>Wire rope 66mm</t>
  </si>
  <si>
    <t>Wire Rope Steel Kiswire Netpune Offshore 1960N/mm^2, Ø66mm , HE-HE</t>
  </si>
  <si>
    <t>Steel</t>
  </si>
  <si>
    <t>Ferrule</t>
  </si>
  <si>
    <t>DNV-ST-N001 16.4.7.1 Wire rope slings with Ferrule</t>
  </si>
  <si>
    <t>DNV-ST-N001 16.4.9.1 Steel wire</t>
  </si>
  <si>
    <t>DNV-ST-N001 16.4.8 - Straight</t>
  </si>
  <si>
    <t>Straight - not applicable</t>
  </si>
  <si>
    <t>A03-main</t>
  </si>
  <si>
    <t>A03-hardeye</t>
  </si>
  <si>
    <t>Wire rope 66mm - hardeye part</t>
  </si>
  <si>
    <t>Dshackle = (80-4)*2 = 152 mm</t>
  </si>
  <si>
    <t>Calculated using formula in DNV-ST-N001 16.4.8 1</t>
  </si>
  <si>
    <t>Dextron 12 Plus 80mm</t>
  </si>
  <si>
    <t>A03-dextron.png</t>
  </si>
  <si>
    <t>Soft eye both ends</t>
  </si>
  <si>
    <t>HMPE Dyneema SK78</t>
  </si>
  <si>
    <t>DNV-ST-N001 16.4.9.1 HMPE</t>
  </si>
  <si>
    <t>DNV-ST-N001 16.4.10.3 Slings with protective jacket</t>
  </si>
  <si>
    <t>DNV-ST-N001 16.4.7.1 Fibre rope sling splices HMPE</t>
  </si>
  <si>
    <t>Diameter at shackle</t>
  </si>
  <si>
    <t>More than 2 x rope diameter, so no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</si>
</sst>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0" fillId="0" borderId="2" xfId="0" applyBorder="1"/>
    <xf numFmtId="0" fontId="1" fillId="2" borderId="2" xfId="1" applyBorder="1"/>
    <xf numFmtId="0" fontId="0" fillId="0" borderId="2" xfId="0" quotePrefix="1" applyBorder="1"/>
    <xf numFmtId="0" fontId="2" fillId="3" borderId="2" xfId="2" applyBorder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4" borderId="2" xfId="0" applyFill="1" applyBorder="1"/>
    <xf numFmtId="0" fontId="5" fillId="4" borderId="2" xfId="0" applyFont="1" applyFill="1" applyBorder="1"/>
    <xf numFmtId="0" fontId="4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3" borderId="6" xfId="2" applyBorder="1"/>
    <xf numFmtId="0" fontId="1" fillId="2" borderId="2" xfId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1" fillId="2" borderId="2" xfId="1" applyNumberFormat="1" applyBorder="1" applyAlignment="1">
      <alignment horizontal="center"/>
    </xf>
    <xf numFmtId="164" fontId="2" fillId="3" borderId="2" xfId="2" applyNumberFormat="1" applyBorder="1" applyAlignment="1">
      <alignment horizontal="center"/>
    </xf>
    <xf numFmtId="165" fontId="2" fillId="3" borderId="2" xfId="2" applyNumberFormat="1" applyBorder="1" applyAlignment="1">
      <alignment horizontal="center"/>
    </xf>
    <xf numFmtId="2" fontId="2" fillId="3" borderId="1" xfId="2" applyNumberFormat="1" applyAlignment="1">
      <alignment horizontal="center"/>
    </xf>
    <xf numFmtId="0" fontId="1" fillId="2" borderId="2" xfId="1" applyBorder="1" applyAlignment="1">
      <alignment horizontal="center"/>
    </xf>
    <xf numFmtId="164" fontId="1" fillId="2" borderId="7" xfId="1" applyNumberFormat="1" applyBorder="1" applyAlignment="1">
      <alignment horizontal="center"/>
    </xf>
    <xf numFmtId="0" fontId="1" fillId="2" borderId="3" xfId="1" applyBorder="1" applyAlignment="1">
      <alignment horizontal="center"/>
    </xf>
    <xf numFmtId="2" fontId="2" fillId="3" borderId="7" xfId="2" applyNumberFormat="1" applyBorder="1" applyAlignment="1">
      <alignment horizontal="center"/>
    </xf>
    <xf numFmtId="0" fontId="1" fillId="2" borderId="7" xfId="1" applyBorder="1" applyAlignment="1">
      <alignment horizontal="center"/>
    </xf>
    <xf numFmtId="165" fontId="2" fillId="3" borderId="7" xfId="2" applyNumberFormat="1" applyBorder="1" applyAlignment="1">
      <alignment horizontal="center"/>
    </xf>
    <xf numFmtId="0" fontId="3" fillId="0" borderId="2" xfId="3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8" xfId="0" applyFont="1" applyBorder="1"/>
    <xf numFmtId="0" fontId="2" fillId="3" borderId="1" xfId="2" applyAlignment="1">
      <alignment horizontal="center"/>
    </xf>
    <xf numFmtId="0" fontId="2" fillId="3" borderId="2" xfId="2" applyBorder="1" applyAlignment="1">
      <alignment horizontal="center"/>
    </xf>
    <xf numFmtId="2" fontId="1" fillId="2" borderId="2" xfId="1" applyNumberFormat="1" applyBorder="1" applyAlignment="1">
      <alignment horizontal="center"/>
    </xf>
    <xf numFmtId="164" fontId="1" fillId="2" borderId="3" xfId="1" applyNumberFormat="1" applyBorder="1" applyAlignment="1">
      <alignment horizontal="center"/>
    </xf>
    <xf numFmtId="0" fontId="1" fillId="2" borderId="3" xfId="1" applyBorder="1"/>
    <xf numFmtId="0" fontId="1" fillId="2" borderId="4" xfId="1" applyBorder="1"/>
    <xf numFmtId="0" fontId="1" fillId="2" borderId="5" xfId="1" applyBorder="1"/>
    <xf numFmtId="14" fontId="1" fillId="2" borderId="3" xfId="1" applyNumberFormat="1" applyBorder="1" applyAlignment="1">
      <alignment horizontal="left"/>
    </xf>
    <xf numFmtId="0" fontId="1" fillId="2" borderId="1" xfId="1" applyAlignment="1">
      <alignment horizontal="left" vertical="top"/>
    </xf>
    <xf numFmtId="0" fontId="0" fillId="0" borderId="3" xfId="0" applyBorder="1"/>
    <xf numFmtId="0" fontId="1" fillId="2" borderId="3" xfId="1" applyBorder="1" applyAlignment="1">
      <alignment horizontal="left"/>
    </xf>
    <xf numFmtId="0" fontId="4" fillId="0" borderId="0" xfId="0" applyFont="1" applyAlignment="1">
      <alignment vertical="top" wrapText="1"/>
    </xf>
    <xf numFmtId="0" fontId="1" fillId="2" borderId="2" xfId="1" applyBorder="1" applyAlignment="1">
      <alignment horizontal="left"/>
    </xf>
    <xf numFmtId="2" fontId="2" fillId="3" borderId="2" xfId="2" applyNumberFormat="1" applyBorder="1" applyAlignment="1">
      <alignment horizontal="center"/>
    </xf>
    <xf numFmtId="165" fontId="2" fillId="3" borderId="1" xfId="2" applyNumberFormat="1" applyAlignment="1">
      <alignment horizontal="center"/>
    </xf>
  </cellXfs>
  <cellStyles count="4">
    <cellStyle name="Calculation" xfId="2" builtinId="22"/>
    <cellStyle name="Explanatory Text" xfId="3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AB8C7-F826-BA4F-B1FE-02574E08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4" y="7152041"/>
          <a:ext cx="5470806" cy="6127103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FF2CF-397F-DC94-FFF6-8D391282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034" y="17925045"/>
          <a:ext cx="5478887" cy="2225889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48385-F0D2-D586-E6D7-85F290CC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2530" y="14793949"/>
          <a:ext cx="5308151" cy="2899780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39F4F7-1682-08EE-371D-B38A7A5A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0428" y="7058984"/>
          <a:ext cx="5247823" cy="49507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2CBDC1-E2DD-6014-0FFC-C74FE65A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13846572"/>
          <a:ext cx="5339179" cy="3707531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74137-34DA-E419-2577-FCEF8A1F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382" y="12561794"/>
          <a:ext cx="5429529" cy="1717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23303-7B6F-4BF1-A7B3-FED10C5C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F5338-441F-4F52-AA7E-31C85BEF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386830-16D6-4A7E-9330-1C351EF6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18B318-A313-4502-8588-21ED21EC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72719-8569-4511-A47B-B54B92FC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277133-06AE-48D0-AE3E-8585E284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8205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6C129-6EA8-453E-A0DA-736A97FB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2406985</xdr:colOff>
      <xdr:row>113</xdr:row>
      <xdr:rowOff>66818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5A1E5-4A5C-41B2-97C3-6EAE1D55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2141506</xdr:colOff>
      <xdr:row>99</xdr:row>
      <xdr:rowOff>126080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CAE87B-26D5-4AE2-8CFF-FAB6584C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805EE6-7C31-4728-A8A8-C584FDCB3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159400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550108-FF4F-47C6-A6AA-20C2E7E0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2351086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9C98D-415F-4C90-98B4-671FF569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4527-5CE2-4EC5-A4A1-6EC7395F1DEA}">
  <dimension ref="B2"/>
  <sheetViews>
    <sheetView workbookViewId="0">
      <selection activeCell="B16" sqref="B16"/>
    </sheetView>
  </sheetViews>
  <sheetFormatPr defaultRowHeight="14.5" x14ac:dyDescent="0.35"/>
  <cols>
    <col min="2" max="2" width="128.36328125" customWidth="1"/>
  </cols>
  <sheetData>
    <row r="2" spans="2:2" ht="325.5" customHeight="1" x14ac:dyDescent="0.35">
      <c r="B2" s="4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1890-7B5E-4404-AEA8-20DD3CA6B61F}">
  <dimension ref="B2:F38"/>
  <sheetViews>
    <sheetView showGridLines="0" topLeftCell="A4" zoomScale="85" zoomScaleNormal="85" workbookViewId="0">
      <selection activeCell="C60" sqref="C60"/>
    </sheetView>
  </sheetViews>
  <sheetFormatPr defaultRowHeight="14.5" x14ac:dyDescent="0.35"/>
  <cols>
    <col min="2" max="2" width="36.54296875" customWidth="1"/>
    <col min="3" max="3" width="11.453125" customWidth="1"/>
    <col min="5" max="5" width="47.54296875" customWidth="1"/>
    <col min="6" max="6" width="58.90625" customWidth="1"/>
    <col min="7" max="7" width="56.453125" bestFit="1" customWidth="1"/>
  </cols>
  <sheetData>
    <row r="2" spans="2:6" x14ac:dyDescent="0.35">
      <c r="B2" s="1" t="s">
        <v>102</v>
      </c>
    </row>
    <row r="3" spans="2:6" x14ac:dyDescent="0.35">
      <c r="B3" s="2" t="s">
        <v>103</v>
      </c>
      <c r="C3" s="39" t="s">
        <v>113</v>
      </c>
      <c r="D3" s="40"/>
      <c r="E3" s="41"/>
    </row>
    <row r="4" spans="2:6" x14ac:dyDescent="0.35">
      <c r="B4" s="2" t="s">
        <v>104</v>
      </c>
      <c r="C4" s="39" t="s">
        <v>115</v>
      </c>
      <c r="D4" s="40"/>
      <c r="E4" s="41"/>
    </row>
    <row r="5" spans="2:6" x14ac:dyDescent="0.35">
      <c r="B5" s="2" t="s">
        <v>105</v>
      </c>
      <c r="C5" s="42">
        <v>46132</v>
      </c>
      <c r="D5" s="40"/>
      <c r="E5" s="41"/>
    </row>
    <row r="6" spans="2:6" x14ac:dyDescent="0.35">
      <c r="B6" s="2" t="s">
        <v>106</v>
      </c>
      <c r="C6" s="39" t="s">
        <v>116</v>
      </c>
      <c r="D6" s="40"/>
      <c r="E6" s="41"/>
    </row>
    <row r="7" spans="2:6" x14ac:dyDescent="0.35">
      <c r="B7" s="2" t="s">
        <v>107</v>
      </c>
      <c r="C7" s="39" t="s">
        <v>117</v>
      </c>
      <c r="D7" s="40"/>
      <c r="E7" s="41"/>
    </row>
    <row r="9" spans="2:6" x14ac:dyDescent="0.35">
      <c r="B9" s="1" t="s">
        <v>18</v>
      </c>
    </row>
    <row r="10" spans="2:6" x14ac:dyDescent="0.35">
      <c r="B10" s="44" t="s">
        <v>27</v>
      </c>
      <c r="C10" s="45" t="s">
        <v>114</v>
      </c>
      <c r="D10" s="40"/>
      <c r="E10" s="41"/>
    </row>
    <row r="12" spans="2:6" x14ac:dyDescent="0.35">
      <c r="B12" s="1" t="s">
        <v>5</v>
      </c>
      <c r="C12" s="1"/>
      <c r="E12" s="33" t="s">
        <v>70</v>
      </c>
      <c r="F12" t="s">
        <v>71</v>
      </c>
    </row>
    <row r="13" spans="2:6" x14ac:dyDescent="0.35">
      <c r="B13" s="2" t="s">
        <v>0</v>
      </c>
      <c r="C13" s="2" t="s">
        <v>12</v>
      </c>
      <c r="D13" s="3">
        <v>160.5</v>
      </c>
      <c r="E13" s="2"/>
      <c r="F13" s="2"/>
    </row>
    <row r="14" spans="2:6" x14ac:dyDescent="0.35">
      <c r="B14" s="2" t="s">
        <v>1</v>
      </c>
      <c r="C14" s="4" t="s">
        <v>6</v>
      </c>
      <c r="D14" s="3">
        <v>1.2</v>
      </c>
      <c r="E14" s="4"/>
      <c r="F14" s="4"/>
    </row>
    <row r="15" spans="2:6" x14ac:dyDescent="0.35">
      <c r="B15" s="2" t="s">
        <v>2</v>
      </c>
      <c r="C15" s="2" t="s">
        <v>7</v>
      </c>
      <c r="D15" s="3">
        <v>5</v>
      </c>
      <c r="E15" s="2"/>
      <c r="F15" s="2"/>
    </row>
    <row r="16" spans="2:6" x14ac:dyDescent="0.35">
      <c r="B16" s="2" t="s">
        <v>4</v>
      </c>
      <c r="C16" s="2" t="s">
        <v>8</v>
      </c>
      <c r="D16" s="3">
        <v>10</v>
      </c>
      <c r="E16" s="2"/>
      <c r="F16" s="2"/>
    </row>
    <row r="17" spans="2:6" x14ac:dyDescent="0.35">
      <c r="B17" s="2" t="s">
        <v>33</v>
      </c>
      <c r="C17" s="2" t="s">
        <v>9</v>
      </c>
      <c r="D17" s="5">
        <f>9.81*(D13*D14+D15+D16)</f>
        <v>2036.556</v>
      </c>
      <c r="E17" s="2"/>
      <c r="F17" s="2"/>
    </row>
    <row r="19" spans="2:6" x14ac:dyDescent="0.35">
      <c r="B19" s="1" t="s">
        <v>10</v>
      </c>
      <c r="C19" s="1"/>
    </row>
    <row r="20" spans="2:6" x14ac:dyDescent="0.35">
      <c r="B20" s="2" t="s">
        <v>11</v>
      </c>
      <c r="C20" s="2" t="s">
        <v>11</v>
      </c>
      <c r="D20" s="3">
        <v>1.1395</v>
      </c>
      <c r="E20" s="2" t="s">
        <v>118</v>
      </c>
      <c r="F20" s="2"/>
    </row>
    <row r="21" spans="2:6" x14ac:dyDescent="0.35">
      <c r="B21" s="2" t="s">
        <v>111</v>
      </c>
      <c r="C21" s="2" t="s">
        <v>11</v>
      </c>
      <c r="D21" s="5"/>
      <c r="E21" s="2" t="s">
        <v>13</v>
      </c>
      <c r="F21" s="2" t="s">
        <v>101</v>
      </c>
    </row>
    <row r="22" spans="2:6" x14ac:dyDescent="0.35">
      <c r="B22" s="2" t="s">
        <v>34</v>
      </c>
      <c r="C22" s="2" t="s">
        <v>61</v>
      </c>
      <c r="D22" s="15">
        <f>IF(D13="","",IF(D20="",D21*D17,D17*D20))</f>
        <v>2320.6555619999999</v>
      </c>
      <c r="E22" s="2"/>
      <c r="F22" s="2"/>
    </row>
    <row r="24" spans="2:6" x14ac:dyDescent="0.35">
      <c r="B24" s="1" t="s">
        <v>14</v>
      </c>
      <c r="C24" s="1"/>
    </row>
    <row r="25" spans="2:6" x14ac:dyDescent="0.35">
      <c r="B25" s="9" t="s">
        <v>100</v>
      </c>
      <c r="C25" s="9"/>
      <c r="D25" s="8"/>
      <c r="E25" s="8"/>
      <c r="F25" s="8"/>
    </row>
    <row r="26" spans="2:6" x14ac:dyDescent="0.35">
      <c r="B26" s="2" t="s">
        <v>36</v>
      </c>
      <c r="C26" s="2" t="s">
        <v>52</v>
      </c>
      <c r="D26" s="3">
        <v>1139.4668999999999</v>
      </c>
      <c r="E26" s="2" t="s">
        <v>119</v>
      </c>
      <c r="F26" s="2"/>
    </row>
    <row r="27" spans="2:6" x14ac:dyDescent="0.35">
      <c r="B27" s="2" t="s">
        <v>37</v>
      </c>
      <c r="C27" s="2" t="s">
        <v>53</v>
      </c>
      <c r="D27" s="3"/>
      <c r="E27" s="2"/>
      <c r="F27" s="2"/>
    </row>
    <row r="28" spans="2:6" x14ac:dyDescent="0.35">
      <c r="B28" s="2" t="s">
        <v>38</v>
      </c>
      <c r="C28" s="2" t="s">
        <v>54</v>
      </c>
      <c r="D28" s="3"/>
      <c r="E28" s="2"/>
      <c r="F28" s="2"/>
    </row>
    <row r="29" spans="2:6" x14ac:dyDescent="0.35">
      <c r="B29" s="2" t="s">
        <v>39</v>
      </c>
      <c r="C29" s="2" t="s">
        <v>55</v>
      </c>
      <c r="D29" s="3"/>
      <c r="E29" s="2"/>
      <c r="F29" s="2"/>
    </row>
    <row r="30" spans="2:6" x14ac:dyDescent="0.35">
      <c r="B30" s="9" t="s">
        <v>35</v>
      </c>
      <c r="C30" s="9"/>
      <c r="D30" s="8"/>
      <c r="E30" s="8"/>
      <c r="F30" s="8"/>
    </row>
    <row r="31" spans="2:6" x14ac:dyDescent="0.35">
      <c r="B31" s="2" t="s">
        <v>29</v>
      </c>
      <c r="C31" s="2" t="s">
        <v>57</v>
      </c>
      <c r="D31" s="3"/>
      <c r="E31" s="2"/>
      <c r="F31" s="2" t="s">
        <v>110</v>
      </c>
    </row>
    <row r="32" spans="2:6" x14ac:dyDescent="0.35">
      <c r="B32" s="2" t="s">
        <v>32</v>
      </c>
      <c r="C32" s="2" t="s">
        <v>58</v>
      </c>
      <c r="D32" s="3"/>
      <c r="E32" s="2"/>
      <c r="F32" s="2" t="s">
        <v>110</v>
      </c>
    </row>
    <row r="33" spans="2:6" x14ac:dyDescent="0.35">
      <c r="B33" s="2" t="s">
        <v>30</v>
      </c>
      <c r="C33" s="2" t="s">
        <v>59</v>
      </c>
      <c r="D33" s="3"/>
      <c r="E33" s="2"/>
      <c r="F33" s="2" t="s">
        <v>110</v>
      </c>
    </row>
    <row r="34" spans="2:6" x14ac:dyDescent="0.35">
      <c r="B34" s="2" t="s">
        <v>31</v>
      </c>
      <c r="C34" s="2" t="s">
        <v>60</v>
      </c>
      <c r="D34" s="3"/>
      <c r="E34" s="2"/>
      <c r="F34" s="2" t="s">
        <v>110</v>
      </c>
    </row>
    <row r="35" spans="2:6" x14ac:dyDescent="0.35">
      <c r="B35" s="2" t="s">
        <v>40</v>
      </c>
      <c r="C35" s="2" t="s">
        <v>56</v>
      </c>
      <c r="D35" s="5" t="e">
        <f>IF(D13="","",(D22*D33*D34)/(D31*SIN(RADIANS(D32))))</f>
        <v>#DIV/0!</v>
      </c>
      <c r="E35" s="2"/>
      <c r="F35" s="2" t="s">
        <v>110</v>
      </c>
    </row>
    <row r="37" spans="2:6" x14ac:dyDescent="0.35">
      <c r="B37" s="17" t="s">
        <v>108</v>
      </c>
    </row>
    <row r="38" spans="2:6" ht="86" customHeight="1" x14ac:dyDescent="0.35">
      <c r="B3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5B64-5456-411E-B006-A92CC2A1DE72}">
  <dimension ref="A1:BB28"/>
  <sheetViews>
    <sheetView showGridLines="0" zoomScaleNormal="100" workbookViewId="0">
      <selection activeCell="D5" sqref="D5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126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123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121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250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9810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2794.6237499999997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3270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2794.6237499999997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61</v>
      </c>
      <c r="D23" s="22">
        <f>_xlfn.XLOOKUP(C23,'0-Loads'!C22:C35,'0-Loads'!D22:D35)</f>
        <v>2320.6555619999999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0.83040000000000003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D092E643-0CCB-4FE4-8587-148B5C65B6B5}">
      <formula1>$BB$3:$BB$8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F153-D5C2-4AB3-A15D-B50BC29C0024}">
  <dimension ref="A1:BB28"/>
  <sheetViews>
    <sheetView showGridLines="0" zoomScaleNormal="100" workbookViewId="0">
      <selection activeCell="E28" sqref="E28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127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124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f>250*0.7</f>
        <v>175</v>
      </c>
      <c r="E12" s="2" t="s">
        <v>125</v>
      </c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6867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1956.236625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2289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1956.236625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0.58247907509655172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ACD98D25-CE59-4DE6-8710-A7D69F191BBE}">
      <formula1>$BB$3:$BB$8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1339-4686-440A-B550-E9257A3E38B6}">
  <dimension ref="A1:BB28"/>
  <sheetViews>
    <sheetView showGridLines="0" zoomScaleNormal="100" workbookViewId="0">
      <selection activeCell="E47" sqref="E47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128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129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130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131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150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5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7357.5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1676.7742499999999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2452.5</v>
      </c>
      <c r="E18" s="2"/>
      <c r="F18" s="2"/>
    </row>
    <row r="19" spans="2:6" x14ac:dyDescent="0.35">
      <c r="B19" s="2" t="s">
        <v>96</v>
      </c>
      <c r="C19" s="13"/>
      <c r="D19" s="37">
        <v>1990.75</v>
      </c>
      <c r="E19" s="2" t="s">
        <v>132</v>
      </c>
      <c r="F19" s="2"/>
    </row>
    <row r="20" spans="2:6" x14ac:dyDescent="0.35">
      <c r="B20" s="2" t="s">
        <v>97</v>
      </c>
      <c r="C20" s="13"/>
      <c r="D20" s="36">
        <f>IF(D12="","",MIN(D17:D19))</f>
        <v>1676.7742499999999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0.67955892094597703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59817F2C-9F5F-4309-BB32-A4ED11467F9A}">
      <formula1>$BB$3:$BB$8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66CF-E7E2-4F86-B303-C9C2A93C103E}">
  <dimension ref="A1:BB39"/>
  <sheetViews>
    <sheetView showGridLines="0" zoomScale="85" zoomScaleNormal="85" workbookViewId="0">
      <selection activeCell="D5" sqref="D5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142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134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/>
      <c r="E15" s="2" t="s">
        <v>141</v>
      </c>
      <c r="F15" s="29"/>
    </row>
    <row r="16" spans="1:54" x14ac:dyDescent="0.35">
      <c r="A16" s="31"/>
      <c r="B16" s="2" t="s">
        <v>88</v>
      </c>
      <c r="C16" s="13" t="s">
        <v>23</v>
      </c>
      <c r="D16" s="25"/>
      <c r="E16" s="2" t="s">
        <v>141</v>
      </c>
      <c r="F16" s="29"/>
    </row>
    <row r="17" spans="1:6" x14ac:dyDescent="0.35">
      <c r="A17" s="31"/>
      <c r="B17" s="2" t="s">
        <v>24</v>
      </c>
      <c r="C17" s="13" t="s">
        <v>24</v>
      </c>
      <c r="D17" s="25"/>
      <c r="E17" s="2" t="s">
        <v>141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140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48">
        <f>MAX(D21,D20)</f>
        <v>1.1200000000000001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2.8392000000000004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2.5760000000000001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2.8392000000000004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1141.1665257819102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0.99851062422222225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92D14611-D408-480C-A29E-AE353B5DD2FD}">
      <formula1>$BB$3:$BB$9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64E6-DE4A-40CB-8161-1C16073E3AB4}">
  <dimension ref="A1:BB39"/>
  <sheetViews>
    <sheetView showGridLines="0" zoomScale="85" zoomScaleNormal="85" workbookViewId="0">
      <selection activeCell="D39" sqref="D39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152</v>
      </c>
      <c r="E15" s="2" t="s">
        <v>145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69.900000000000006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2.1745350500715306</v>
      </c>
      <c r="E17" s="2"/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49">
        <f>1/(1-(0.5/(SQRT(D17))))</f>
        <v>1.5130149432944655</v>
      </c>
      <c r="E20" s="2" t="s">
        <v>146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21">
        <f>MAX(D21,D20)</f>
        <v>1.5130149432944655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3.8354928812514704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3.4799343695772702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3.8354928812514704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844.74149745855641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1.3488941923986668</v>
      </c>
      <c r="E36" s="2" t="str">
        <f>IF(D36&lt;1,"UF &lt; 1 OK","UF &gt; 1 Not OK")</f>
        <v>UF &gt; 1 Not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74B1E677-21DF-4D52-8FE1-494EFC408830}">
      <formula1>$BB$3:$BB$9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B056-37D8-4D6D-912D-94CCA7AFC8DD}">
  <dimension ref="A1:BB39"/>
  <sheetViews>
    <sheetView showGridLines="0" tabSelected="1" topLeftCell="A7" zoomScale="85" zoomScaleNormal="85" workbookViewId="0">
      <selection activeCell="J39" sqref="J39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133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147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150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148</v>
      </c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f>431.8*9.81</f>
        <v>4235.9580000000005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149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166</v>
      </c>
      <c r="E15" s="2" t="s">
        <v>154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80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2.0750000000000002</v>
      </c>
      <c r="E17" s="2" t="s">
        <v>155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76</v>
      </c>
      <c r="F20" s="29"/>
    </row>
    <row r="21" spans="1:6" x14ac:dyDescent="0.35">
      <c r="A21" s="31"/>
      <c r="B21" s="11" t="s">
        <v>86</v>
      </c>
      <c r="C21" s="12" t="s">
        <v>42</v>
      </c>
      <c r="D21" s="19">
        <v>1</v>
      </c>
      <c r="E21" s="2" t="s">
        <v>153</v>
      </c>
      <c r="F21" s="29"/>
    </row>
    <row r="22" spans="1:6" x14ac:dyDescent="0.35">
      <c r="A22" s="31"/>
      <c r="B22" s="11" t="s">
        <v>85</v>
      </c>
      <c r="C22" s="12" t="s">
        <v>43</v>
      </c>
      <c r="D22" s="20">
        <f>MAX(D21,D20)</f>
        <v>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2</v>
      </c>
      <c r="E25" s="2" t="s">
        <v>151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152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3.3800000000000003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2.2999999999999998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3.3800000000000003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1253.2420118343196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0.90921537040735523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FF7F1ECD-E8F8-4B6C-8F62-C61096F7E4D6}">
      <formula1>$BB$3:$BB$9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0-Loads</vt:lpstr>
      <vt:lpstr>A01-mainlink</vt:lpstr>
      <vt:lpstr>A01-sublinks</vt:lpstr>
      <vt:lpstr>A02</vt:lpstr>
      <vt:lpstr>A03-main</vt:lpstr>
      <vt:lpstr>A03-hardeye</vt:lpstr>
      <vt:lpstr>A03-Dextron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Nedrebø</dc:creator>
  <cp:lastModifiedBy>Eirik Nedrebø</cp:lastModifiedBy>
  <dcterms:created xsi:type="dcterms:W3CDTF">2026-04-16T07:21:40Z</dcterms:created>
  <dcterms:modified xsi:type="dcterms:W3CDTF">2026-04-20T12:29:08Z</dcterms:modified>
</cp:coreProperties>
</file>